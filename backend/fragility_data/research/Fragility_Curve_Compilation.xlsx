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https://inl-my.sharepoint.com/personal/chaiteemilind_godbole_inl_gov/Documents/Desktop/"/>
    </mc:Choice>
  </mc:AlternateContent>
  <xr:revisionPtr revIDLastSave="0" documentId="8_{5A8B112D-6049-44C8-BB1C-5AA7D1496812}" xr6:coauthVersionLast="47" xr6:coauthVersionMax="47" xr10:uidLastSave="{00000000-0000-0000-0000-000000000000}"/>
  <bookViews>
    <workbookView xWindow="4420" yWindow="1840" windowWidth="28040" windowHeight="17440" xr2:uid="{E82B0BB6-8C55-554B-9116-B83084FFB189}"/>
  </bookViews>
  <sheets>
    <sheet name="Wind" sheetId="1" r:id="rId1"/>
    <sheet name="Snow" sheetId="4" r:id="rId2"/>
    <sheet name="Heat" sheetId="2" r:id="rId3"/>
    <sheet name="Flood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<sst xmlns="http://schemas.openxmlformats.org/spreadsheetml/2006/main" count="332" uniqueCount="111">
  <si>
    <t>Hazard Variable</t>
  </si>
  <si>
    <t>Infrastructure Component</t>
  </si>
  <si>
    <t>Lognormal Distribution (y/n)</t>
  </si>
  <si>
    <t>Best Fit (y/n)</t>
  </si>
  <si>
    <t>1st Additional Variables</t>
  </si>
  <si>
    <t>2nd Additional Vriable</t>
  </si>
  <si>
    <t>3rd Additional Variable</t>
  </si>
  <si>
    <t>4th Additional Variable</t>
  </si>
  <si>
    <t>Mu (if lognormal distribution)</t>
  </si>
  <si>
    <t>Sigma (if lognormal distribution)</t>
  </si>
  <si>
    <t>Alternate Equation</t>
  </si>
  <si>
    <t>Source</t>
  </si>
  <si>
    <t>Wind Gust Speed (m/s)</t>
  </si>
  <si>
    <t>Substation</t>
  </si>
  <si>
    <t>y</t>
  </si>
  <si>
    <t>n</t>
  </si>
  <si>
    <t>Terrain type 1</t>
  </si>
  <si>
    <t>Moderate</t>
  </si>
  <si>
    <t>Ouyang, M., &amp; Duenas-Osorio, L. (2014). Multi-dimensional hurricane resilience assessment of electric power systems. Structural Safety, 48, 15-24.</t>
  </si>
  <si>
    <t>Severe</t>
  </si>
  <si>
    <t>Complete</t>
  </si>
  <si>
    <t>Terrain type 2</t>
  </si>
  <si>
    <t>Terrain type 3</t>
  </si>
  <si>
    <t>Terrain type 4</t>
  </si>
  <si>
    <t>Terrain type 5</t>
  </si>
  <si>
    <t>Wind Gust Speed (mph)</t>
  </si>
  <si>
    <t>Transmission Lines</t>
  </si>
  <si>
    <t>"Cost benefit analysis of the deployment of utility infrastructure upgrades and storm hardening programs", 2009.</t>
  </si>
  <si>
    <t>Distribution Poles</t>
  </si>
  <si>
    <t>Wind speed (m/s)</t>
  </si>
  <si>
    <t>Solar Panels</t>
  </si>
  <si>
    <t>L Ceferino, N Lin, D Xi. 2021. “Stochastic Modeling of Solar Generation During Hurricanes.” PREPRINT (Version 1) available at Research Square https://doi.org/10.21203/rs.3.rs-797974/v1  </t>
  </si>
  <si>
    <t>Transmission Towers (Greece)</t>
  </si>
  <si>
    <t>D V Bilionis,  D Vamvatsikos. 2019. “Wind performance assessment of telecommunication towers: A case study in Greece.” Eccomas Proceedia COMPDYN (2019) 5741-5755. DOI: https://oa.mg/work/10.7712/120119.7342.19629</t>
  </si>
  <si>
    <t>Coal Power Plant</t>
  </si>
  <si>
    <t>E B Watson, A H Etemadi. 2020. "Modeling Electrical Grid Resilience Under Hurricane Wind Conditions With Increased Solar and Wind Power Generation." IEEE Transactions on Power Systems 352(2020) pp. 929-937. https://doi.org/10.1109/TPWRS.2019.2942279 </t>
  </si>
  <si>
    <t>Gas Power Plant</t>
  </si>
  <si>
    <t>Solar Power Plant</t>
  </si>
  <si>
    <t>Wind Power Plant</t>
  </si>
  <si>
    <t>Nuclear Power Plant</t>
  </si>
  <si>
    <t>Wind gust speed (m/s)</t>
  </si>
  <si>
    <t>Wood Utility Pole (class 1)</t>
  </si>
  <si>
    <t>age=5 #choose between 0 and 100</t>
  </si>
  <si>
    <t>wind_direction=60 #choose between 0 and 90 degrees</t>
  </si>
  <si>
    <t>conductor_area=3 #choose between 0 and 8 (calculated as a product of number and diameter of pole, span length of pole)</t>
  </si>
  <si>
    <t>height=20 #choose between 6.1 and 38.1 and represents the height of the poles</t>
  </si>
  <si>
    <t>mu_a1 = [6.796,-0.01010,-0.06515,0.00616,-0.06736,0.00003251,-0.001243, 0.004034,-0.0000005851,-0.00001203, -0.0001332,0.0002266,
         0.001649,-0.0000521,0.0005313]; mu1 = mu_a1[0] + (mu_a1[1] * wind_direction) + (mu_a1[2]*conductor_area) + (mu_a1[3]*age) + (mu_a[4]*height) +(mu_a1[5]*wind_direction**2) + (mu_a1[6]*conductor_area*wind_direction) + (mu_a1[7]*conductor_area**2) + (mu_a1[8]*age*wind_direction) +(mu_a1[9]*age*conductor_area) +(mu_a1[10] * age**2) + (mu_a1[11]*wind_direction*height) +(mu_a1[12]*conductor_area*height) + (mu_a1[13]*age*height) +(mu_a1[14]*height**2)</t>
  </si>
  <si>
    <t>sigma_a1 = [0.1522,0.000111,0.0008277,-0.002052,0.0001701,-0.0000003334,0.000005995,-0.00004556,0.0000002687,0.000002605,0.00006349,
         -0.000002926,-0.00002166,0.000003454,0.000001269];  sigma1 = sigma_a1[0] + (sigma_a1[1] * wind_direction) + (sigma_a1[2]*conductor_area) + (sigma_a1[3]*age) + (sigma_a1[4]*height) +(sigma_a1[5]*wind_direction**2) + (sigma_a1[6]*conductor_area*wind_direction) + (sigma_a1[7]*conductor_area**2) + (sigma_a1[8]*age*wind_direction) +(sigma_a1[9]*age*conductor_area) +(sigma_a1[10] * age**2) + (sigma_a1[11]*wind_direction*height) +(sigma_a1[12]*conductor_area*height) + (sigma_a1[13]*age*height) +(sigma_a1[14]*height**2)</t>
  </si>
  <si>
    <t>https://www.sciencedirect.com/science/article/pii/S0141029618327238</t>
  </si>
  <si>
    <t>Wood Utility Pole (class 7)</t>
  </si>
  <si>
    <t>age=5 #choose between 0 and 101</t>
  </si>
  <si>
    <t>mu_a7 = [6.478,-0.01502,-0.09623,0.006447,-0.05769,0.00006149,-0.001427,0.006283,0.00000453,0.00004580,-0.0001420,0.0002572,0.00181,
          -0.00002027,0.0004138]; mu7 = mu_a7[0] + (mu_a7[1] * wind_direction) + (mu_a7[2]*conductor_area) + (mu_a7[3]*age) + (mu_a7[4]*height) +(mu_a7[5]*wind_direction**2) + (mu_a7[6]*conductor_area*wind_direction) + (mu_a7[7]*conductor_area**2) + (mu_a7[8]*age*wind_direction) +(mu_a7[9]*age*conductor_area) +(mu_a7[10] * age**2) + (mu_a7[11]*wind_direction*height) +(mu_a7[12]*conductor_area*height) + (mu_a7[13]*age*height) +(mu_a7[14]*height**2)</t>
  </si>
  <si>
    <t>sigma_a7=[0.1288,5.202E-04,4.527E-03,-1.592E-03,2.546E-04,-6.594E-08,-1.995E-05,-1.031E-04,-7.959E-06,
        -6.315E-05,6.677E-05,-4.626E-06,-1.984E-05,1.023E-05,-1.726E-06]; sigma7 = sigma_a7[0] + (sigma_a7[1] * wind_direction) + (sigma_a7[2]*conductor_area) + (sigma_a7[3]*age) + (sigma_a7[4]*height) +(sigma_a7[5]*wind_direction**2) + (sigma_a7[6]*conductor_area*wind_direction) + (sigma_a7[7]*conductor_area**2) + (sigma_a7[8]*age*wind_direction) +(sigma_a7[9]*age*conductor_area) +(sigma_a7[10] * age**2) + (sigma_a7[11]*wind_direction*height) +(sigma_a7[12]*conductor_area*height) + (sigma_a7[13]*age*height) +(sigma_a7[14]*height**2)</t>
  </si>
  <si>
    <t>New Wood Utility Pole</t>
  </si>
  <si>
    <t>https://www.tandfonline.com/doi/full/10.1080/15732479.2015.1053949#d1e662</t>
  </si>
  <si>
    <t>New Steel Utility Pole</t>
  </si>
  <si>
    <t>Wood Pole 40 Years</t>
  </si>
  <si>
    <t>Steel Pole 40 Years</t>
  </si>
  <si>
    <t>Wood Pole 60 Years</t>
  </si>
  <si>
    <t>Steel Pole 60 Years</t>
  </si>
  <si>
    <t>Maximum Sustained Wind Speed (m/s)</t>
  </si>
  <si>
    <t>Transmission Tower #1</t>
  </si>
  <si>
    <t>Wind speed angle = 0</t>
  </si>
  <si>
    <t>https://www.sciencedirect.com/science/article/pii/S0141029621007367</t>
  </si>
  <si>
    <t>Wind speed angle = 30</t>
  </si>
  <si>
    <t>Wind speed angle = 60</t>
  </si>
  <si>
    <t>Transmission Tower #2</t>
  </si>
  <si>
    <t>Wind speed (m/s) (at top)</t>
  </si>
  <si>
    <t>Steel Tower</t>
  </si>
  <si>
    <t>Ice Thickness = 0mm</t>
  </si>
  <si>
    <r>
      <t>Bilionis, D.V. and D. Vamvatsikos. 2019. </t>
    </r>
    <r>
      <rPr>
        <i/>
        <sz val="11"/>
        <color theme="1"/>
        <rFont val="Arial"/>
        <family val="2"/>
      </rPr>
      <t>Wind performance assessment of telecommunication towers: a case study in Greece</t>
    </r>
    <r>
      <rPr>
        <sz val="11"/>
        <color theme="1"/>
        <rFont val="Arial"/>
        <family val="2"/>
      </rPr>
      <t>. Proceedings of 7th interactional conference on computational methods in structural dynamics and earthquake engineering, COMPDYN 2019. pp. 5741-5755. https://files.eccomasproceedia.org/papers/compdyn-2019/19629.pdf?mtime=20191122132148</t>
    </r>
  </si>
  <si>
    <t>Ice Thickness = 15 mm</t>
  </si>
  <si>
    <t>Ice Thickness = 30 mm</t>
  </si>
  <si>
    <t>Ice Thickness =45 mm</t>
  </si>
  <si>
    <t>Wind Turbine Tower in Parked Condition</t>
  </si>
  <si>
    <t>Critical Displacement = 0.524 m</t>
  </si>
  <si>
    <t>https://www.sciencedirect.com/science/article/pii/S0960148120311423?via%3Dihub#sec4</t>
  </si>
  <si>
    <t>Critical Displacement = 0.629 m</t>
  </si>
  <si>
    <t>Wind Turbine Blade 1 in Parked Condition</t>
  </si>
  <si>
    <t>Critical Displacement = 0.839 m</t>
  </si>
  <si>
    <t>Critical Displacement = 1.049 m</t>
  </si>
  <si>
    <t>Wind Turbine Blade 2 in Parked Condition</t>
  </si>
  <si>
    <t>Wind Turbine Tower in Operating Condition</t>
  </si>
  <si>
    <t>Wind Turbine Blade 1 in Operating Condition</t>
  </si>
  <si>
    <t>Wind Turbine Blade 2 in Operating Condition</t>
  </si>
  <si>
    <t>Wind Turbine Blade 3 in Operating Condition</t>
  </si>
  <si>
    <t>Ice Thickness (mm)</t>
  </si>
  <si>
    <t xml:space="preserve">Transmission Tower </t>
  </si>
  <si>
    <t>Uniform balance load</t>
  </si>
  <si>
    <t>no wind</t>
  </si>
  <si>
    <t>https://open.library.ubc.ca/soa/cIRcle/collections/53032/items/1.0076203</t>
  </si>
  <si>
    <t>Longitudinal Bending</t>
  </si>
  <si>
    <t>Traverse Bending</t>
  </si>
  <si>
    <t>Torsional Bending</t>
  </si>
  <si>
    <t>wind=20m/s</t>
  </si>
  <si>
    <t>wind direction=0deg</t>
  </si>
  <si>
    <t>wind direction=90deg</t>
  </si>
  <si>
    <t>Temperature (degC)</t>
  </si>
  <si>
    <t>Cables: Thermoplastic Insulation</t>
  </si>
  <si>
    <t>https://link.springer.com/article/10.1007/s10694-016-0616-0#Tab3</t>
  </si>
  <si>
    <t>Cables: Thermoset Insulation</t>
  </si>
  <si>
    <t>Cables: Kerite-FR</t>
  </si>
  <si>
    <t>Depth of flood (ft)</t>
  </si>
  <si>
    <t>Solar PV Panel</t>
  </si>
  <si>
    <t>B Chen. 2020. “Optimization framework for solar energy integrated resilient distribution grid.” Argonne National Laboratory CPS#34228- Final Project Review. http://wzy.ece.iastate.edu/project/34228_FPRANL_v0.4.pdf  </t>
  </si>
  <si>
    <t>Solar Substation</t>
  </si>
  <si>
    <t>Pole</t>
  </si>
  <si>
    <t>Depth of flood (m)</t>
  </si>
  <si>
    <t>High Voltage Substation</t>
  </si>
  <si>
    <t>D Sánchez-Muñoz,  J L Domínguez-García , E Martínez-Gomariz, B Russo, J Stevens, and M Pardo. 2020. "Electrical Grid Risk Assessment Against Flooding in Barcelona and Bristol Cities" Sustainability 12- 4(2020) 1527..  https://doi.org/10.3390/su12041527</t>
  </si>
  <si>
    <t>Medium Voltage substation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</si>
</sst>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Helvetica"/>
      <family val="2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6" borderId="0" xfId="0" applyFill="1" applyAlignment="1">
      <alignment wrapText="1"/>
    </xf>
    <xf numFmtId="0" fontId="0" fillId="6" borderId="0" xfId="0" applyFill="1"/>
    <xf numFmtId="0" fontId="0" fillId="7" borderId="0" xfId="0" applyFill="1"/>
    <xf numFmtId="0" fontId="0" fillId="7" borderId="0" xfId="0" applyFill="1" applyAlignment="1">
      <alignment wrapText="1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3" fillId="3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6" fillId="4" borderId="1" xfId="1" applyFont="1" applyFill="1" applyBorder="1"/>
    <xf numFmtId="0" fontId="0" fillId="2" borderId="1" xfId="0" applyFill="1" applyBorder="1" applyAlignment="1">
      <alignment wrapText="1"/>
    </xf>
    <xf numFmtId="0" fontId="1" fillId="2" borderId="1" xfId="1" applyFont="1" applyFill="1" applyBorder="1"/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vertical="center" wrapText="1"/>
    </xf>
    <xf numFmtId="0" fontId="0" fillId="8" borderId="1" xfId="0" applyFill="1" applyBorder="1"/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5" fillId="4" borderId="1" xfId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7" fillId="8" borderId="1" xfId="0" applyFont="1" applyFill="1" applyBorder="1" applyAlignment="1">
      <alignment horizont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2" xfId="1" applyBorder="1" applyAlignment="1">
      <alignment horizontal="center" vertical="center" wrapText="1"/>
    </xf>
    <xf numFmtId="0" fontId="5" fillId="0" borderId="0" xfId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5" fillId="6" borderId="2" xfId="1" applyFill="1" applyBorder="1" applyAlignment="1">
      <alignment horizontal="center" wrapText="1"/>
    </xf>
    <xf numFmtId="0" fontId="5" fillId="6" borderId="0" xfId="1" applyFill="1" applyAlignment="1">
      <alignment horizontal="center" wrapText="1"/>
    </xf>
    <xf numFmtId="0" fontId="5" fillId="7" borderId="0" xfId="1" applyFill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109/TPWRS.2019.2942279" TargetMode="External"/><Relationship Id="rId2" Type="http://schemas.openxmlformats.org/officeDocument/2006/relationships/hyperlink" Target="https://oa.mg/work/10.7712/120119.7342.19629" TargetMode="External"/><Relationship Id="rId1" Type="http://schemas.openxmlformats.org/officeDocument/2006/relationships/hyperlink" Target="https://doi.org/10.21203/rs.3.rs-797974/v1" TargetMode="External"/><Relationship Id="rId4" Type="http://schemas.openxmlformats.org/officeDocument/2006/relationships/hyperlink" Target="https://www.sciencedirect.com/science/article/pii/S0960148120311423?via%3Dihub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link.springer.com/article/10.1007/s10694-016-0616-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3390/su12041527" TargetMode="External"/><Relationship Id="rId1" Type="http://schemas.openxmlformats.org/officeDocument/2006/relationships/hyperlink" Target="http://wzy.ece.iastate.edu/project/34228_FPRANL_v0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872B9-FBAD-1E4D-A2C8-D26E2D4ADF89}">
  <dimension ref="A1:M71"/>
  <sheetViews>
    <sheetView tabSelected="1" topLeftCell="A36" workbookViewId="0">
      <selection activeCell="C47" sqref="A47:XFD47"/>
    </sheetView>
  </sheetViews>
  <sheetFormatPr defaultColWidth="11" defaultRowHeight="15.95"/>
  <cols>
    <col min="1" max="1" width="25.375" customWidth="1"/>
    <col min="2" max="2" width="15" style="1" customWidth="1"/>
    <col min="5" max="5" width="20.125" customWidth="1"/>
    <col min="6" max="8" width="14.625" customWidth="1"/>
    <col min="9" max="9" width="16" customWidth="1"/>
    <col min="10" max="10" width="18" customWidth="1"/>
    <col min="11" max="11" width="39" customWidth="1"/>
  </cols>
  <sheetData>
    <row r="1" spans="1:12" s="3" customFormat="1" ht="53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8" customFormat="1">
      <c r="A2" s="33" t="s">
        <v>12</v>
      </c>
      <c r="B2" s="33" t="s">
        <v>13</v>
      </c>
      <c r="C2" s="31" t="s">
        <v>14</v>
      </c>
      <c r="D2" s="31" t="s">
        <v>15</v>
      </c>
      <c r="E2" s="8" t="s">
        <v>16</v>
      </c>
      <c r="F2" s="8" t="s">
        <v>17</v>
      </c>
      <c r="I2" s="8">
        <v>4.9210000000000003</v>
      </c>
      <c r="J2" s="8">
        <v>0.14799999999999999</v>
      </c>
      <c r="L2" s="37" t="s">
        <v>18</v>
      </c>
    </row>
    <row r="3" spans="1:12" s="8" customFormat="1">
      <c r="A3" s="33"/>
      <c r="B3" s="33"/>
      <c r="C3" s="31"/>
      <c r="D3" s="31"/>
      <c r="E3" s="8" t="s">
        <v>16</v>
      </c>
      <c r="F3" s="8" t="s">
        <v>19</v>
      </c>
      <c r="I3" s="8">
        <v>5.0599999999999996</v>
      </c>
      <c r="J3" s="8">
        <v>0.15</v>
      </c>
      <c r="L3" s="37"/>
    </row>
    <row r="4" spans="1:12" s="8" customFormat="1">
      <c r="A4" s="33"/>
      <c r="B4" s="33"/>
      <c r="C4" s="31"/>
      <c r="D4" s="31"/>
      <c r="E4" s="8" t="s">
        <v>16</v>
      </c>
      <c r="F4" s="8" t="s">
        <v>20</v>
      </c>
      <c r="I4" s="8">
        <v>5.4279999999999999</v>
      </c>
      <c r="J4" s="8">
        <v>0.16300000000000001</v>
      </c>
      <c r="L4" s="37"/>
    </row>
    <row r="5" spans="1:12" s="8" customFormat="1">
      <c r="A5" s="33"/>
      <c r="B5" s="33"/>
      <c r="C5" s="31"/>
      <c r="D5" s="31"/>
      <c r="E5" s="8" t="s">
        <v>21</v>
      </c>
      <c r="F5" s="8" t="s">
        <v>17</v>
      </c>
      <c r="I5" s="8">
        <v>4.9470000000000001</v>
      </c>
      <c r="J5" s="8">
        <v>0.122</v>
      </c>
      <c r="L5" s="37"/>
    </row>
    <row r="6" spans="1:12" s="8" customFormat="1">
      <c r="A6" s="33"/>
      <c r="B6" s="33"/>
      <c r="C6" s="31"/>
      <c r="D6" s="31"/>
      <c r="E6" s="8" t="s">
        <v>21</v>
      </c>
      <c r="F6" s="8" t="s">
        <v>19</v>
      </c>
      <c r="I6" s="8">
        <v>5.0940000000000003</v>
      </c>
      <c r="J6" s="8">
        <v>0.124</v>
      </c>
      <c r="L6" s="37"/>
    </row>
    <row r="7" spans="1:12" s="8" customFormat="1">
      <c r="A7" s="33"/>
      <c r="B7" s="33"/>
      <c r="C7" s="31"/>
      <c r="D7" s="31"/>
      <c r="E7" s="8" t="s">
        <v>21</v>
      </c>
      <c r="F7" s="8" t="s">
        <v>20</v>
      </c>
      <c r="I7" s="8">
        <v>5.3369999999999997</v>
      </c>
      <c r="J7" s="8">
        <v>0.127</v>
      </c>
      <c r="L7" s="37"/>
    </row>
    <row r="8" spans="1:12" s="8" customFormat="1">
      <c r="A8" s="33"/>
      <c r="B8" s="33"/>
      <c r="C8" s="31"/>
      <c r="D8" s="31"/>
      <c r="E8" s="8" t="s">
        <v>22</v>
      </c>
      <c r="F8" s="8" t="s">
        <v>17</v>
      </c>
      <c r="I8" s="8">
        <v>4.9980000000000002</v>
      </c>
      <c r="J8" s="8">
        <v>0.128</v>
      </c>
      <c r="L8" s="37"/>
    </row>
    <row r="9" spans="1:12" s="8" customFormat="1">
      <c r="A9" s="33"/>
      <c r="B9" s="33"/>
      <c r="C9" s="31"/>
      <c r="D9" s="31"/>
      <c r="E9" s="8" t="s">
        <v>22</v>
      </c>
      <c r="F9" s="8" t="s">
        <v>19</v>
      </c>
      <c r="I9" s="8">
        <v>5.141</v>
      </c>
      <c r="J9" s="8">
        <v>0.13200000000000001</v>
      </c>
      <c r="L9" s="37"/>
    </row>
    <row r="10" spans="1:12" s="8" customFormat="1">
      <c r="A10" s="33"/>
      <c r="B10" s="33"/>
      <c r="C10" s="31"/>
      <c r="D10" s="31"/>
      <c r="E10" s="8" t="s">
        <v>22</v>
      </c>
      <c r="F10" s="8" t="s">
        <v>20</v>
      </c>
      <c r="I10" s="8">
        <v>5.4189999999999996</v>
      </c>
      <c r="J10" s="8">
        <v>0.14899999999999999</v>
      </c>
      <c r="L10" s="37"/>
    </row>
    <row r="11" spans="1:12" s="8" customFormat="1">
      <c r="A11" s="33"/>
      <c r="B11" s="33"/>
      <c r="C11" s="31"/>
      <c r="D11" s="31"/>
      <c r="E11" s="8" t="s">
        <v>23</v>
      </c>
      <c r="F11" s="8" t="s">
        <v>17</v>
      </c>
      <c r="I11" s="8">
        <v>5.0439999999999996</v>
      </c>
      <c r="J11" s="8">
        <v>0.13800000000000001</v>
      </c>
      <c r="L11" s="37"/>
    </row>
    <row r="12" spans="1:12" s="8" customFormat="1">
      <c r="A12" s="33"/>
      <c r="B12" s="33"/>
      <c r="C12" s="31"/>
      <c r="D12" s="31"/>
      <c r="E12" s="8" t="s">
        <v>23</v>
      </c>
      <c r="F12" s="8" t="s">
        <v>19</v>
      </c>
      <c r="I12" s="8">
        <v>5.1849999999999996</v>
      </c>
      <c r="J12" s="8">
        <v>0.13900000000000001</v>
      </c>
      <c r="L12" s="37"/>
    </row>
    <row r="13" spans="1:12" s="8" customFormat="1">
      <c r="A13" s="33"/>
      <c r="B13" s="33"/>
      <c r="C13" s="31"/>
      <c r="D13" s="31"/>
      <c r="E13" s="8" t="s">
        <v>23</v>
      </c>
      <c r="F13" s="8" t="s">
        <v>20</v>
      </c>
      <c r="I13" s="8">
        <v>5.4779999999999998</v>
      </c>
      <c r="J13" s="8">
        <v>0.11899999999999999</v>
      </c>
      <c r="L13" s="37"/>
    </row>
    <row r="14" spans="1:12" s="8" customFormat="1">
      <c r="A14" s="33"/>
      <c r="B14" s="33"/>
      <c r="C14" s="31"/>
      <c r="D14" s="31"/>
      <c r="E14" s="8" t="s">
        <v>24</v>
      </c>
      <c r="F14" s="8" t="s">
        <v>17</v>
      </c>
      <c r="I14" s="8">
        <v>5.0679999999999996</v>
      </c>
      <c r="J14" s="8">
        <v>0.13600000000000001</v>
      </c>
      <c r="L14" s="37"/>
    </row>
    <row r="15" spans="1:12" s="8" customFormat="1">
      <c r="A15" s="33"/>
      <c r="B15" s="33"/>
      <c r="C15" s="31"/>
      <c r="D15" s="31"/>
      <c r="E15" s="8" t="s">
        <v>24</v>
      </c>
      <c r="F15" s="8" t="s">
        <v>19</v>
      </c>
      <c r="I15" s="8">
        <v>5.2039999999999997</v>
      </c>
      <c r="J15" s="8">
        <v>0.14699999999999999</v>
      </c>
      <c r="L15" s="37"/>
    </row>
    <row r="16" spans="1:12" s="8" customFormat="1">
      <c r="A16" s="33"/>
      <c r="B16" s="33"/>
      <c r="C16" s="31"/>
      <c r="D16" s="31"/>
      <c r="E16" s="8" t="s">
        <v>24</v>
      </c>
      <c r="F16" s="8" t="s">
        <v>20</v>
      </c>
      <c r="I16" s="8">
        <v>5.5229999999999997</v>
      </c>
      <c r="J16" s="8">
        <v>0.13200000000000001</v>
      </c>
      <c r="L16" s="37"/>
    </row>
    <row r="17" spans="1:12" s="9" customFormat="1" ht="33.950000000000003">
      <c r="A17" s="9" t="s">
        <v>25</v>
      </c>
      <c r="B17" s="10" t="s">
        <v>26</v>
      </c>
      <c r="C17" s="9" t="s">
        <v>15</v>
      </c>
      <c r="D17" s="9" t="s">
        <v>15</v>
      </c>
      <c r="K17" s="9" t="e" vm="1">
        <v>#VALUE!</v>
      </c>
      <c r="L17" s="11" t="s">
        <v>27</v>
      </c>
    </row>
    <row r="18" spans="1:12" s="9" customFormat="1" ht="33.950000000000003">
      <c r="A18" s="9" t="s">
        <v>25</v>
      </c>
      <c r="B18" s="10" t="s">
        <v>28</v>
      </c>
      <c r="C18" s="9" t="s">
        <v>15</v>
      </c>
      <c r="D18" s="9" t="s">
        <v>15</v>
      </c>
      <c r="K18" s="9" t="e" vm="2">
        <v>#VALUE!</v>
      </c>
      <c r="L18" s="11" t="s">
        <v>27</v>
      </c>
    </row>
    <row r="19" spans="1:12" s="12" customFormat="1" ht="17.100000000000001">
      <c r="A19" s="12" t="s">
        <v>29</v>
      </c>
      <c r="B19" s="13" t="s">
        <v>30</v>
      </c>
      <c r="C19" s="12" t="s">
        <v>14</v>
      </c>
      <c r="D19" s="12" t="s">
        <v>15</v>
      </c>
      <c r="I19" s="12">
        <f>LN(58)</f>
        <v>4.0604430105464191</v>
      </c>
      <c r="J19" s="12">
        <v>0.3</v>
      </c>
      <c r="L19" s="14" t="s">
        <v>31</v>
      </c>
    </row>
    <row r="20" spans="1:12" s="8" customFormat="1" ht="33.950000000000003">
      <c r="A20" s="8" t="s">
        <v>29</v>
      </c>
      <c r="B20" s="15" t="s">
        <v>32</v>
      </c>
      <c r="C20" s="8" t="s">
        <v>14</v>
      </c>
      <c r="D20" s="8" t="s">
        <v>14</v>
      </c>
      <c r="I20" s="8">
        <v>3.6280000000000001</v>
      </c>
      <c r="J20" s="8">
        <v>0.1158</v>
      </c>
      <c r="L20" s="16" t="s">
        <v>33</v>
      </c>
    </row>
    <row r="21" spans="1:12" s="9" customFormat="1" ht="17.100000000000001">
      <c r="A21" s="35" t="s">
        <v>25</v>
      </c>
      <c r="B21" s="10" t="s">
        <v>34</v>
      </c>
      <c r="C21" s="9" t="s">
        <v>14</v>
      </c>
      <c r="D21" s="9" t="s">
        <v>14</v>
      </c>
      <c r="I21" s="9">
        <v>5.0579999999999998</v>
      </c>
      <c r="J21" s="9">
        <v>0.122</v>
      </c>
      <c r="L21" s="36" t="s">
        <v>35</v>
      </c>
    </row>
    <row r="22" spans="1:12" s="9" customFormat="1" ht="17.100000000000001">
      <c r="A22" s="35"/>
      <c r="B22" s="10" t="s">
        <v>36</v>
      </c>
      <c r="C22" s="9" t="s">
        <v>14</v>
      </c>
      <c r="D22" s="9" t="s">
        <v>14</v>
      </c>
      <c r="I22" s="9">
        <v>5.2050000000000001</v>
      </c>
      <c r="J22" s="9">
        <v>8.8999999999999996E-2</v>
      </c>
      <c r="L22" s="36"/>
    </row>
    <row r="23" spans="1:12" s="9" customFormat="1" ht="33.950000000000003">
      <c r="A23" s="35"/>
      <c r="B23" s="10" t="s">
        <v>37</v>
      </c>
      <c r="C23" s="9" t="s">
        <v>14</v>
      </c>
      <c r="D23" s="9" t="s">
        <v>14</v>
      </c>
      <c r="I23" s="9">
        <v>5.1020000000000003</v>
      </c>
      <c r="J23" s="9">
        <v>0.13600000000000001</v>
      </c>
      <c r="L23" s="36"/>
    </row>
    <row r="24" spans="1:12" s="9" customFormat="1" ht="33.950000000000003">
      <c r="A24" s="35"/>
      <c r="B24" s="10" t="s">
        <v>38</v>
      </c>
      <c r="C24" s="9" t="s">
        <v>14</v>
      </c>
      <c r="D24" s="9" t="s">
        <v>14</v>
      </c>
      <c r="I24" s="9">
        <v>5.0730000000000004</v>
      </c>
      <c r="J24" s="9">
        <v>0.124</v>
      </c>
      <c r="L24" s="36"/>
    </row>
    <row r="25" spans="1:12" s="9" customFormat="1" ht="33.950000000000003">
      <c r="A25" s="35"/>
      <c r="B25" s="10" t="s">
        <v>39</v>
      </c>
      <c r="C25" s="9" t="s">
        <v>14</v>
      </c>
      <c r="D25" s="9" t="s">
        <v>14</v>
      </c>
      <c r="I25" s="9">
        <v>6.056</v>
      </c>
      <c r="J25" s="9">
        <v>0.217</v>
      </c>
      <c r="L25" s="36"/>
    </row>
    <row r="26" spans="1:12" s="17" customFormat="1" ht="409.5">
      <c r="A26" s="17" t="s">
        <v>40</v>
      </c>
      <c r="B26" s="18" t="s">
        <v>41</v>
      </c>
      <c r="C26" s="17" t="s">
        <v>14</v>
      </c>
      <c r="D26" s="17" t="s">
        <v>15</v>
      </c>
      <c r="E26" s="19" t="s">
        <v>42</v>
      </c>
      <c r="F26" s="19" t="s">
        <v>43</v>
      </c>
      <c r="G26" s="19" t="s">
        <v>44</v>
      </c>
      <c r="H26" s="19" t="s">
        <v>45</v>
      </c>
      <c r="I26" s="18" t="s">
        <v>46</v>
      </c>
      <c r="J26" s="18" t="s">
        <v>47</v>
      </c>
      <c r="L26" s="17" t="s">
        <v>48</v>
      </c>
    </row>
    <row r="27" spans="1:12" s="17" customFormat="1" ht="409.5">
      <c r="A27" s="17" t="s">
        <v>12</v>
      </c>
      <c r="B27" s="18" t="s">
        <v>49</v>
      </c>
      <c r="C27" s="17" t="s">
        <v>14</v>
      </c>
      <c r="D27" s="17" t="s">
        <v>15</v>
      </c>
      <c r="E27" s="19" t="s">
        <v>50</v>
      </c>
      <c r="F27" s="19" t="s">
        <v>43</v>
      </c>
      <c r="G27" s="19" t="s">
        <v>44</v>
      </c>
      <c r="H27" s="19" t="s">
        <v>45</v>
      </c>
      <c r="I27" s="18" t="s">
        <v>51</v>
      </c>
      <c r="J27" s="18" t="s">
        <v>52</v>
      </c>
      <c r="L27" s="17" t="s">
        <v>48</v>
      </c>
    </row>
    <row r="28" spans="1:12" s="12" customFormat="1" ht="33.950000000000003">
      <c r="A28" s="25" t="s">
        <v>12</v>
      </c>
      <c r="B28" s="13" t="s">
        <v>53</v>
      </c>
      <c r="C28" s="12" t="s">
        <v>14</v>
      </c>
      <c r="D28" s="12" t="s">
        <v>14</v>
      </c>
      <c r="I28" s="12">
        <v>4.0602999999999998</v>
      </c>
      <c r="J28" s="12">
        <v>0.114</v>
      </c>
      <c r="L28" s="32" t="s">
        <v>54</v>
      </c>
    </row>
    <row r="29" spans="1:12" s="12" customFormat="1" ht="33.950000000000003">
      <c r="A29" s="25"/>
      <c r="B29" s="13" t="s">
        <v>55</v>
      </c>
      <c r="C29" s="12" t="s">
        <v>14</v>
      </c>
      <c r="D29" s="12" t="s">
        <v>14</v>
      </c>
      <c r="I29" s="12">
        <v>4.0640000000000001</v>
      </c>
      <c r="J29" s="12">
        <v>0.126</v>
      </c>
      <c r="L29" s="32"/>
    </row>
    <row r="30" spans="1:12" s="12" customFormat="1" ht="33.950000000000003">
      <c r="A30" s="25"/>
      <c r="B30" s="13" t="s">
        <v>56</v>
      </c>
      <c r="C30" s="12" t="s">
        <v>14</v>
      </c>
      <c r="D30" s="12" t="s">
        <v>14</v>
      </c>
      <c r="I30" s="12">
        <v>4.024</v>
      </c>
      <c r="J30" s="12">
        <v>0.14599999999999999</v>
      </c>
      <c r="L30" s="32"/>
    </row>
    <row r="31" spans="1:12" s="12" customFormat="1" ht="33.950000000000003">
      <c r="A31" s="25"/>
      <c r="B31" s="13" t="s">
        <v>57</v>
      </c>
      <c r="C31" s="12" t="s">
        <v>14</v>
      </c>
      <c r="D31" s="12" t="s">
        <v>14</v>
      </c>
      <c r="I31" s="12">
        <v>3.91</v>
      </c>
      <c r="J31" s="12">
        <v>0.13</v>
      </c>
      <c r="L31" s="32"/>
    </row>
    <row r="32" spans="1:12" s="12" customFormat="1" ht="33.950000000000003">
      <c r="A32" s="25"/>
      <c r="B32" s="13" t="s">
        <v>58</v>
      </c>
      <c r="C32" s="12" t="s">
        <v>14</v>
      </c>
      <c r="D32" s="12" t="s">
        <v>14</v>
      </c>
      <c r="I32" s="12">
        <v>3.93</v>
      </c>
      <c r="J32" s="12">
        <v>0.20230000000000001</v>
      </c>
      <c r="L32" s="32"/>
    </row>
    <row r="33" spans="1:13" s="12" customFormat="1" ht="33.950000000000003">
      <c r="A33" s="25"/>
      <c r="B33" s="13" t="s">
        <v>59</v>
      </c>
      <c r="C33" s="12" t="s">
        <v>14</v>
      </c>
      <c r="D33" s="12" t="s">
        <v>14</v>
      </c>
      <c r="I33" s="12">
        <v>3.8919999999999999</v>
      </c>
      <c r="J33" s="12">
        <v>0.129</v>
      </c>
      <c r="L33" s="32"/>
    </row>
    <row r="34" spans="1:13" s="8" customFormat="1" ht="33.950000000000003" customHeight="1">
      <c r="A34" s="33" t="s">
        <v>60</v>
      </c>
      <c r="B34" s="33" t="s">
        <v>61</v>
      </c>
      <c r="C34" s="8" t="s">
        <v>14</v>
      </c>
      <c r="D34" s="8" t="s">
        <v>14</v>
      </c>
      <c r="E34" s="8" t="s">
        <v>62</v>
      </c>
      <c r="I34" s="8">
        <v>3.9159999999999999</v>
      </c>
      <c r="J34" s="8">
        <v>4.1599999999999998E-2</v>
      </c>
      <c r="L34" s="34" t="s">
        <v>63</v>
      </c>
      <c r="M34" s="31" t="e" vm="3">
        <v>#VALUE!</v>
      </c>
    </row>
    <row r="35" spans="1:13" s="8" customFormat="1" ht="33.950000000000003" customHeight="1">
      <c r="A35" s="33"/>
      <c r="B35" s="33"/>
      <c r="C35" s="8" t="s">
        <v>14</v>
      </c>
      <c r="D35" s="8" t="s">
        <v>14</v>
      </c>
      <c r="E35" s="8" t="s">
        <v>64</v>
      </c>
      <c r="I35" s="8">
        <v>3.8730000000000002</v>
      </c>
      <c r="J35" s="8">
        <v>4.4600000000000001E-2</v>
      </c>
      <c r="L35" s="34"/>
      <c r="M35" s="31"/>
    </row>
    <row r="36" spans="1:13" s="8" customFormat="1" ht="33.950000000000003" customHeight="1">
      <c r="A36" s="33"/>
      <c r="B36" s="33"/>
      <c r="C36" s="8" t="s">
        <v>14</v>
      </c>
      <c r="D36" s="8" t="s">
        <v>14</v>
      </c>
      <c r="E36" s="8" t="s">
        <v>65</v>
      </c>
      <c r="I36" s="8">
        <v>3.9609999999999999</v>
      </c>
      <c r="J36" s="8">
        <v>5.0900000000000001E-2</v>
      </c>
      <c r="L36" s="34"/>
      <c r="M36" s="31"/>
    </row>
    <row r="37" spans="1:13" s="8" customFormat="1" ht="33.950000000000003" customHeight="1">
      <c r="A37" s="33"/>
      <c r="B37" s="33" t="s">
        <v>66</v>
      </c>
      <c r="C37" s="8" t="s">
        <v>14</v>
      </c>
      <c r="D37" s="8" t="s">
        <v>14</v>
      </c>
      <c r="E37" s="8" t="s">
        <v>62</v>
      </c>
      <c r="I37" s="8">
        <v>3.734</v>
      </c>
      <c r="J37" s="8">
        <v>5.4600000000000003E-2</v>
      </c>
      <c r="L37" s="34"/>
      <c r="M37" s="31"/>
    </row>
    <row r="38" spans="1:13" s="8" customFormat="1" ht="33.950000000000003" customHeight="1">
      <c r="A38" s="33"/>
      <c r="B38" s="33"/>
      <c r="C38" s="8" t="s">
        <v>14</v>
      </c>
      <c r="D38" s="8" t="s">
        <v>14</v>
      </c>
      <c r="E38" s="8" t="s">
        <v>64</v>
      </c>
      <c r="I38" s="8">
        <v>3.7890000000000001</v>
      </c>
      <c r="J38" s="8">
        <v>5.9200000000000003E-2</v>
      </c>
      <c r="L38" s="34"/>
      <c r="M38" s="31"/>
    </row>
    <row r="39" spans="1:13" s="8" customFormat="1" ht="33.950000000000003" customHeight="1">
      <c r="A39" s="33"/>
      <c r="B39" s="33"/>
      <c r="C39" s="8" t="s">
        <v>14</v>
      </c>
      <c r="D39" s="8" t="s">
        <v>14</v>
      </c>
      <c r="E39" s="8" t="s">
        <v>65</v>
      </c>
      <c r="I39" s="8">
        <v>3.9969999999999999</v>
      </c>
      <c r="J39" s="8">
        <v>4.7399999999999998E-2</v>
      </c>
      <c r="L39" s="34"/>
      <c r="M39" s="31"/>
    </row>
    <row r="40" spans="1:13" s="20" customFormat="1" ht="18" customHeight="1">
      <c r="A40" s="40" t="s">
        <v>67</v>
      </c>
      <c r="B40" s="39" t="s">
        <v>68</v>
      </c>
      <c r="C40" s="40" t="s">
        <v>14</v>
      </c>
      <c r="D40" s="40" t="s">
        <v>14</v>
      </c>
      <c r="E40" s="20" t="s">
        <v>69</v>
      </c>
      <c r="I40" s="20">
        <v>3.6280000000000001</v>
      </c>
      <c r="J40" s="20">
        <v>0.1158</v>
      </c>
      <c r="L40" s="38" t="s">
        <v>70</v>
      </c>
    </row>
    <row r="41" spans="1:13" s="20" customFormat="1" ht="17.100000000000001" customHeight="1">
      <c r="A41" s="40"/>
      <c r="B41" s="39"/>
      <c r="C41" s="40"/>
      <c r="D41" s="40"/>
      <c r="E41" s="20" t="s">
        <v>71</v>
      </c>
      <c r="I41" s="20">
        <v>3.4710000000000001</v>
      </c>
      <c r="J41" s="20">
        <v>0.11509999999999999</v>
      </c>
      <c r="L41" s="38"/>
    </row>
    <row r="42" spans="1:13" s="20" customFormat="1" ht="17.100000000000001" customHeight="1">
      <c r="A42" s="40"/>
      <c r="B42" s="39"/>
      <c r="C42" s="40"/>
      <c r="D42" s="40"/>
      <c r="E42" s="20" t="s">
        <v>72</v>
      </c>
      <c r="I42" s="20">
        <v>3.448</v>
      </c>
      <c r="J42" s="20">
        <v>0.127</v>
      </c>
      <c r="L42" s="38"/>
    </row>
    <row r="43" spans="1:13" s="20" customFormat="1" ht="17.100000000000001" customHeight="1">
      <c r="A43" s="40"/>
      <c r="B43" s="39"/>
      <c r="C43" s="40"/>
      <c r="D43" s="40"/>
      <c r="E43" s="20" t="s">
        <v>73</v>
      </c>
      <c r="I43" s="20">
        <v>3.3839999999999999</v>
      </c>
      <c r="J43" s="20">
        <v>0.1225</v>
      </c>
      <c r="L43" s="38"/>
    </row>
    <row r="44" spans="1:13" s="12" customFormat="1" ht="33.950000000000003">
      <c r="A44" s="26" t="s">
        <v>29</v>
      </c>
      <c r="B44" s="25" t="s">
        <v>74</v>
      </c>
      <c r="C44" s="12" t="s">
        <v>14</v>
      </c>
      <c r="D44" s="12" t="s">
        <v>14</v>
      </c>
      <c r="E44" s="13" t="s">
        <v>75</v>
      </c>
      <c r="L44" s="30" t="s">
        <v>76</v>
      </c>
    </row>
    <row r="45" spans="1:13" s="12" customFormat="1" ht="33.950000000000003">
      <c r="A45" s="26"/>
      <c r="B45" s="25"/>
      <c r="C45" s="12" t="s">
        <v>14</v>
      </c>
      <c r="D45" s="12" t="s">
        <v>14</v>
      </c>
      <c r="E45" s="13" t="s">
        <v>77</v>
      </c>
      <c r="L45" s="25"/>
    </row>
    <row r="46" spans="1:13" s="12" customFormat="1">
      <c r="A46" s="26"/>
      <c r="B46" s="21"/>
      <c r="E46" s="13"/>
      <c r="L46" s="25"/>
    </row>
    <row r="47" spans="1:13" s="12" customFormat="1">
      <c r="A47" s="26"/>
      <c r="B47" s="21"/>
      <c r="E47" s="13"/>
      <c r="L47" s="25"/>
    </row>
    <row r="48" spans="1:13" s="12" customFormat="1" ht="33.950000000000003">
      <c r="A48" s="26"/>
      <c r="B48" s="25" t="s">
        <v>78</v>
      </c>
      <c r="C48" s="12" t="s">
        <v>14</v>
      </c>
      <c r="D48" s="12" t="s">
        <v>14</v>
      </c>
      <c r="E48" s="13" t="s">
        <v>75</v>
      </c>
      <c r="I48" s="12">
        <v>3.0343</v>
      </c>
      <c r="J48" s="12">
        <v>0.11799999999999999</v>
      </c>
      <c r="L48" s="25"/>
    </row>
    <row r="49" spans="1:12" s="12" customFormat="1" ht="33.950000000000003">
      <c r="A49" s="26"/>
      <c r="B49" s="25"/>
      <c r="C49" s="12" t="s">
        <v>14</v>
      </c>
      <c r="D49" s="12" t="s">
        <v>14</v>
      </c>
      <c r="E49" s="13" t="s">
        <v>77</v>
      </c>
      <c r="I49" s="12">
        <v>3.2248000000000001</v>
      </c>
      <c r="J49" s="12">
        <v>0.11899999999999999</v>
      </c>
      <c r="L49" s="25"/>
    </row>
    <row r="50" spans="1:12" s="12" customFormat="1" ht="33.950000000000003">
      <c r="A50" s="26"/>
      <c r="B50" s="25"/>
      <c r="C50" s="12" t="s">
        <v>14</v>
      </c>
      <c r="D50" s="12" t="s">
        <v>14</v>
      </c>
      <c r="E50" s="13" t="s">
        <v>79</v>
      </c>
      <c r="I50" s="12">
        <v>3.3650000000000002</v>
      </c>
      <c r="J50" s="12">
        <v>0.122</v>
      </c>
      <c r="L50" s="25"/>
    </row>
    <row r="51" spans="1:12" s="12" customFormat="1" ht="33.950000000000003">
      <c r="A51" s="26"/>
      <c r="B51" s="25"/>
      <c r="C51" s="12" t="s">
        <v>14</v>
      </c>
      <c r="D51" s="12" t="s">
        <v>14</v>
      </c>
      <c r="E51" s="13" t="s">
        <v>80</v>
      </c>
      <c r="I51" s="12">
        <v>3.6006999999999998</v>
      </c>
      <c r="J51" s="12">
        <v>0.185</v>
      </c>
      <c r="L51" s="25"/>
    </row>
    <row r="52" spans="1:12" s="12" customFormat="1" ht="33.950000000000003">
      <c r="A52" s="26"/>
      <c r="B52" s="25" t="s">
        <v>81</v>
      </c>
      <c r="C52" s="12" t="s">
        <v>14</v>
      </c>
      <c r="D52" s="12" t="s">
        <v>14</v>
      </c>
      <c r="E52" s="13" t="s">
        <v>75</v>
      </c>
      <c r="I52" s="12">
        <v>2.9820000000000002</v>
      </c>
      <c r="J52" s="12">
        <v>8.7999999999999995E-2</v>
      </c>
      <c r="L52" s="25"/>
    </row>
    <row r="53" spans="1:12" s="12" customFormat="1" ht="33.950000000000003">
      <c r="A53" s="26"/>
      <c r="B53" s="25"/>
      <c r="C53" s="12" t="s">
        <v>14</v>
      </c>
      <c r="D53" s="12" t="s">
        <v>14</v>
      </c>
      <c r="E53" s="13" t="s">
        <v>77</v>
      </c>
      <c r="I53" s="12">
        <v>3.8149999999999999</v>
      </c>
      <c r="J53" s="12">
        <v>0.52200000000000002</v>
      </c>
      <c r="L53" s="25"/>
    </row>
    <row r="54" spans="1:12" s="12" customFormat="1" ht="33.950000000000003">
      <c r="A54" s="26"/>
      <c r="B54" s="25"/>
      <c r="C54" s="12" t="s">
        <v>14</v>
      </c>
      <c r="D54" s="12" t="s">
        <v>14</v>
      </c>
      <c r="E54" s="13" t="s">
        <v>79</v>
      </c>
      <c r="I54" s="12">
        <v>3.3176000000000001</v>
      </c>
      <c r="J54" s="12">
        <v>0.10829999999999999</v>
      </c>
      <c r="L54" s="25"/>
    </row>
    <row r="55" spans="1:12" s="12" customFormat="1" ht="33.950000000000003">
      <c r="A55" s="26"/>
      <c r="B55" s="25"/>
      <c r="C55" s="12" t="s">
        <v>14</v>
      </c>
      <c r="D55" s="12" t="s">
        <v>14</v>
      </c>
      <c r="E55" s="13" t="s">
        <v>80</v>
      </c>
      <c r="I55" s="12">
        <v>3.6006999999999998</v>
      </c>
      <c r="J55" s="12">
        <v>0.185</v>
      </c>
      <c r="L55" s="25"/>
    </row>
    <row r="56" spans="1:12" s="12" customFormat="1" ht="33.950000000000003" customHeight="1">
      <c r="A56" s="26"/>
      <c r="B56" s="27" t="s">
        <v>82</v>
      </c>
      <c r="C56" s="12" t="s">
        <v>14</v>
      </c>
      <c r="D56" s="12" t="s">
        <v>14</v>
      </c>
      <c r="E56" s="13" t="s">
        <v>75</v>
      </c>
      <c r="I56" s="12">
        <v>2.8530000000000002</v>
      </c>
      <c r="J56" s="12">
        <v>0.246</v>
      </c>
    </row>
    <row r="57" spans="1:12" s="12" customFormat="1" ht="33.950000000000003">
      <c r="A57" s="26"/>
      <c r="B57" s="28"/>
      <c r="C57" s="12" t="s">
        <v>14</v>
      </c>
      <c r="D57" s="12" t="s">
        <v>14</v>
      </c>
      <c r="E57" s="13" t="s">
        <v>77</v>
      </c>
      <c r="I57" s="12">
        <v>3.105</v>
      </c>
      <c r="J57" s="12">
        <v>0.248</v>
      </c>
    </row>
    <row r="58" spans="1:12" s="24" customFormat="1" ht="30" customHeight="1">
      <c r="A58" s="26"/>
      <c r="B58" s="28"/>
      <c r="C58" s="22" t="s">
        <v>14</v>
      </c>
      <c r="D58" s="22" t="s">
        <v>14</v>
      </c>
      <c r="E58" s="23" t="s">
        <v>79</v>
      </c>
      <c r="I58" s="24">
        <v>3.4969999999999999</v>
      </c>
      <c r="J58" s="24">
        <v>0.247</v>
      </c>
    </row>
    <row r="59" spans="1:12" s="12" customFormat="1" ht="33.950000000000003">
      <c r="A59" s="26"/>
      <c r="B59" s="29"/>
      <c r="C59" s="12" t="s">
        <v>14</v>
      </c>
      <c r="D59" s="12" t="s">
        <v>14</v>
      </c>
      <c r="E59" s="13" t="s">
        <v>80</v>
      </c>
      <c r="I59" s="12">
        <v>23.614999999999998</v>
      </c>
      <c r="J59" s="12">
        <v>7.6219999999999999</v>
      </c>
    </row>
    <row r="60" spans="1:12" s="12" customFormat="1" ht="33.950000000000003">
      <c r="A60" s="26"/>
      <c r="B60" s="25" t="s">
        <v>83</v>
      </c>
      <c r="C60" s="12" t="s">
        <v>14</v>
      </c>
      <c r="D60" s="12" t="s">
        <v>14</v>
      </c>
      <c r="E60" s="13" t="s">
        <v>75</v>
      </c>
      <c r="I60" s="12">
        <v>1.9990000000000001</v>
      </c>
      <c r="J60" s="12">
        <v>0.436</v>
      </c>
    </row>
    <row r="61" spans="1:12" s="12" customFormat="1" ht="33.950000000000003">
      <c r="A61" s="26"/>
      <c r="B61" s="25"/>
      <c r="C61" s="12" t="s">
        <v>14</v>
      </c>
      <c r="D61" s="12" t="s">
        <v>14</v>
      </c>
      <c r="E61" s="13" t="s">
        <v>77</v>
      </c>
      <c r="I61" s="12">
        <v>2.8717000000000001</v>
      </c>
      <c r="J61" s="12">
        <v>0.44500000000000001</v>
      </c>
    </row>
    <row r="62" spans="1:12" s="12" customFormat="1" ht="33.950000000000003">
      <c r="A62" s="26"/>
      <c r="B62" s="25"/>
      <c r="C62" s="12" t="s">
        <v>14</v>
      </c>
      <c r="D62" s="12" t="s">
        <v>14</v>
      </c>
      <c r="E62" s="13" t="s">
        <v>79</v>
      </c>
      <c r="I62" s="12">
        <v>3.4870000000000001</v>
      </c>
      <c r="J62" s="12">
        <v>0.435</v>
      </c>
    </row>
    <row r="63" spans="1:12" s="12" customFormat="1" ht="33.950000000000003">
      <c r="A63" s="26"/>
      <c r="B63" s="25"/>
      <c r="C63" s="12" t="s">
        <v>14</v>
      </c>
      <c r="D63" s="12" t="s">
        <v>14</v>
      </c>
      <c r="E63" s="13" t="s">
        <v>80</v>
      </c>
      <c r="I63" s="12">
        <v>4.0060000000000002</v>
      </c>
      <c r="J63" s="12">
        <v>0.45500000000000002</v>
      </c>
    </row>
    <row r="64" spans="1:12" s="12" customFormat="1" ht="33.950000000000003">
      <c r="A64" s="26"/>
      <c r="B64" s="25" t="s">
        <v>84</v>
      </c>
      <c r="C64" s="12" t="s">
        <v>14</v>
      </c>
      <c r="D64" s="12" t="s">
        <v>14</v>
      </c>
      <c r="E64" s="13" t="s">
        <v>75</v>
      </c>
      <c r="I64" s="12">
        <v>1.7629999999999999</v>
      </c>
      <c r="J64" s="12">
        <v>0.45700000000000002</v>
      </c>
    </row>
    <row r="65" spans="1:10" s="12" customFormat="1" ht="33.950000000000003">
      <c r="A65" s="26"/>
      <c r="B65" s="25"/>
      <c r="C65" s="12" t="s">
        <v>14</v>
      </c>
      <c r="D65" s="12" t="s">
        <v>14</v>
      </c>
      <c r="E65" s="13" t="s">
        <v>77</v>
      </c>
      <c r="I65" s="12">
        <v>2.782</v>
      </c>
      <c r="J65" s="12">
        <v>0.45100000000000001</v>
      </c>
    </row>
    <row r="66" spans="1:10" s="12" customFormat="1" ht="33.950000000000003">
      <c r="A66" s="26"/>
      <c r="B66" s="25"/>
      <c r="C66" s="12" t="s">
        <v>14</v>
      </c>
      <c r="D66" s="12" t="s">
        <v>14</v>
      </c>
      <c r="E66" s="13" t="s">
        <v>79</v>
      </c>
      <c r="I66" s="12">
        <v>3.5169999999999999</v>
      </c>
      <c r="J66" s="12">
        <v>0.46899999999999997</v>
      </c>
    </row>
    <row r="67" spans="1:10" s="12" customFormat="1" ht="33.950000000000003">
      <c r="A67" s="26"/>
      <c r="B67" s="25"/>
      <c r="C67" s="12" t="s">
        <v>14</v>
      </c>
      <c r="D67" s="12" t="s">
        <v>14</v>
      </c>
      <c r="E67" s="13" t="s">
        <v>80</v>
      </c>
      <c r="I67" s="12">
        <v>4.2850000000000001</v>
      </c>
      <c r="J67" s="12">
        <v>0.56699999999999995</v>
      </c>
    </row>
    <row r="68" spans="1:10" s="12" customFormat="1" ht="33.950000000000003">
      <c r="A68" s="26"/>
      <c r="B68" s="25" t="s">
        <v>85</v>
      </c>
      <c r="C68" s="12" t="s">
        <v>14</v>
      </c>
      <c r="D68" s="12" t="s">
        <v>14</v>
      </c>
      <c r="E68" s="13" t="s">
        <v>75</v>
      </c>
      <c r="I68" s="12">
        <v>1.7010000000000001</v>
      </c>
      <c r="J68" s="12">
        <v>0.51</v>
      </c>
    </row>
    <row r="69" spans="1:10" s="12" customFormat="1" ht="33.950000000000003">
      <c r="A69" s="26"/>
      <c r="B69" s="25"/>
      <c r="C69" s="12" t="s">
        <v>14</v>
      </c>
      <c r="D69" s="12" t="s">
        <v>14</v>
      </c>
      <c r="E69" s="13" t="s">
        <v>77</v>
      </c>
      <c r="I69" s="12">
        <v>2.7949999999999999</v>
      </c>
      <c r="J69" s="12">
        <v>0.499</v>
      </c>
    </row>
    <row r="70" spans="1:10" s="12" customFormat="1" ht="33.950000000000003">
      <c r="A70" s="26"/>
      <c r="B70" s="25"/>
      <c r="C70" s="12" t="s">
        <v>14</v>
      </c>
      <c r="D70" s="12" t="s">
        <v>14</v>
      </c>
      <c r="E70" s="13" t="s">
        <v>79</v>
      </c>
      <c r="I70" s="12">
        <v>3.5790000000000002</v>
      </c>
      <c r="J70" s="12">
        <v>0.51700000000000002</v>
      </c>
    </row>
    <row r="71" spans="1:10" s="12" customFormat="1" ht="33.950000000000003">
      <c r="A71" s="26"/>
      <c r="B71" s="25"/>
      <c r="C71" s="12" t="s">
        <v>14</v>
      </c>
      <c r="D71" s="12" t="s">
        <v>14</v>
      </c>
      <c r="E71" s="13" t="s">
        <v>80</v>
      </c>
      <c r="I71" s="12">
        <v>4.7910000000000004</v>
      </c>
      <c r="J71" s="12">
        <v>0.82099999999999995</v>
      </c>
    </row>
  </sheetData>
  <mergeCells count="28">
    <mergeCell ref="A21:A25"/>
    <mergeCell ref="L21:L25"/>
    <mergeCell ref="L2:L16"/>
    <mergeCell ref="A2:A16"/>
    <mergeCell ref="B2:B16"/>
    <mergeCell ref="C2:C16"/>
    <mergeCell ref="D2:D16"/>
    <mergeCell ref="L44:L55"/>
    <mergeCell ref="M34:M39"/>
    <mergeCell ref="L28:L33"/>
    <mergeCell ref="A28:A33"/>
    <mergeCell ref="B34:B36"/>
    <mergeCell ref="B37:B39"/>
    <mergeCell ref="A34:A39"/>
    <mergeCell ref="L34:L39"/>
    <mergeCell ref="L40:L43"/>
    <mergeCell ref="B40:B43"/>
    <mergeCell ref="A40:A43"/>
    <mergeCell ref="C40:C43"/>
    <mergeCell ref="D40:D43"/>
    <mergeCell ref="B60:B63"/>
    <mergeCell ref="B64:B67"/>
    <mergeCell ref="B68:B71"/>
    <mergeCell ref="A44:A71"/>
    <mergeCell ref="B56:B59"/>
    <mergeCell ref="B44:B45"/>
    <mergeCell ref="B48:B51"/>
    <mergeCell ref="B52:B55"/>
  </mergeCells>
  <phoneticPr fontId="2" type="noConversion"/>
  <hyperlinks>
    <hyperlink ref="L19" r:id="rId1" display="https://doi.org/10.21203/rs.3.rs-797974/v1" xr:uid="{337A1DDE-B5C6-4A47-849F-1558AE702105}"/>
    <hyperlink ref="L20" r:id="rId2" display="https://oa.mg/work/10.7712/120119.7342.19629" xr:uid="{FCB1FA23-8CC2-D04D-B3AA-C97C50160FD2}"/>
    <hyperlink ref="L21" r:id="rId3" display="https://doi.org/10.1109/TPWRS.2019.2942279" xr:uid="{3ED1C29F-8EF0-354C-BDDA-B928DE473EF9}"/>
    <hyperlink ref="L44" r:id="rId4" location="sec4" xr:uid="{3E887D6E-1A3B-3146-A571-CBA40A85369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0896A-0F0B-8640-A4F5-69E6BA25BAF3}">
  <dimension ref="A1:L13"/>
  <sheetViews>
    <sheetView workbookViewId="0">
      <selection activeCell="I23" sqref="I23"/>
    </sheetView>
  </sheetViews>
  <sheetFormatPr defaultColWidth="11" defaultRowHeight="15.95"/>
  <cols>
    <col min="1" max="1" width="10.875" style="1"/>
    <col min="2" max="2" width="15" style="1" customWidth="1"/>
    <col min="5" max="5" width="20.625" style="1" customWidth="1"/>
    <col min="7" max="7" width="21.375" style="1" customWidth="1"/>
    <col min="9" max="9" width="19" customWidth="1"/>
    <col min="10" max="10" width="15.375" customWidth="1"/>
  </cols>
  <sheetData>
    <row r="1" spans="1:12" s="3" customFormat="1" ht="53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51" customHeight="1">
      <c r="A2" s="41" t="s">
        <v>86</v>
      </c>
      <c r="B2" s="41" t="s">
        <v>87</v>
      </c>
      <c r="C2" s="44" t="s">
        <v>14</v>
      </c>
      <c r="D2" s="44" t="s">
        <v>14</v>
      </c>
      <c r="E2" s="1" t="s">
        <v>88</v>
      </c>
      <c r="F2" s="41" t="s">
        <v>89</v>
      </c>
      <c r="I2">
        <v>4.2229999999999999</v>
      </c>
      <c r="J2">
        <v>3.7600000000000001E-2</v>
      </c>
      <c r="L2" s="41" t="s">
        <v>90</v>
      </c>
    </row>
    <row r="3" spans="1:12" ht="17.100000000000001">
      <c r="A3" s="42"/>
      <c r="B3" s="42"/>
      <c r="C3" s="43"/>
      <c r="D3" s="43"/>
      <c r="E3" s="1" t="s">
        <v>91</v>
      </c>
      <c r="F3" s="42"/>
      <c r="I3">
        <v>4.2930000000000001</v>
      </c>
      <c r="J3">
        <v>4.2200000000000001E-2</v>
      </c>
      <c r="L3" s="42"/>
    </row>
    <row r="4" spans="1:12" ht="17.100000000000001">
      <c r="A4" s="42"/>
      <c r="B4" s="42"/>
      <c r="C4" s="43"/>
      <c r="D4" s="43"/>
      <c r="E4" s="1" t="s">
        <v>92</v>
      </c>
      <c r="F4" s="42"/>
      <c r="I4">
        <v>4.2549999999999999</v>
      </c>
      <c r="J4">
        <v>3.8399999999999997E-2</v>
      </c>
      <c r="L4" s="42"/>
    </row>
    <row r="5" spans="1:12" ht="17.100000000000001">
      <c r="A5" s="42"/>
      <c r="B5" s="42"/>
      <c r="C5" s="43"/>
      <c r="D5" s="43"/>
      <c r="E5" s="1" t="s">
        <v>93</v>
      </c>
      <c r="F5" s="42"/>
      <c r="I5">
        <v>4.2729999999999997</v>
      </c>
      <c r="J5">
        <v>4.0899999999999999E-2</v>
      </c>
      <c r="L5" s="42"/>
    </row>
    <row r="6" spans="1:12" ht="17.100000000000001">
      <c r="A6" s="42"/>
      <c r="B6" s="42"/>
      <c r="C6" s="43"/>
      <c r="D6" s="43"/>
      <c r="E6" s="1" t="s">
        <v>88</v>
      </c>
      <c r="F6" s="43" t="s">
        <v>94</v>
      </c>
      <c r="G6" s="42" t="s">
        <v>95</v>
      </c>
      <c r="I6">
        <v>4.258</v>
      </c>
      <c r="J6">
        <v>2.7300000000000001E-2</v>
      </c>
      <c r="L6" s="42"/>
    </row>
    <row r="7" spans="1:12" ht="17.100000000000001">
      <c r="A7" s="42"/>
      <c r="B7" s="42"/>
      <c r="C7" s="43"/>
      <c r="D7" s="43"/>
      <c r="E7" s="1" t="s">
        <v>91</v>
      </c>
      <c r="F7" s="43"/>
      <c r="G7" s="42"/>
      <c r="I7">
        <v>4.6529999999999996</v>
      </c>
      <c r="J7">
        <v>5.2699999999999997E-2</v>
      </c>
      <c r="L7" s="42"/>
    </row>
    <row r="8" spans="1:12" ht="17.100000000000001">
      <c r="A8" s="42"/>
      <c r="B8" s="42"/>
      <c r="C8" s="43"/>
      <c r="D8" s="43"/>
      <c r="E8" s="1" t="s">
        <v>92</v>
      </c>
      <c r="F8" s="43"/>
      <c r="G8" s="42"/>
      <c r="I8">
        <v>4.2969999999999997</v>
      </c>
      <c r="J8">
        <v>3.73E-2</v>
      </c>
      <c r="L8" s="42"/>
    </row>
    <row r="9" spans="1:12" ht="17.100000000000001">
      <c r="A9" s="42"/>
      <c r="B9" s="42"/>
      <c r="C9" s="43"/>
      <c r="D9" s="43"/>
      <c r="E9" s="1" t="s">
        <v>93</v>
      </c>
      <c r="F9" s="43"/>
      <c r="G9" s="42"/>
      <c r="I9">
        <v>4.3319999999999999</v>
      </c>
      <c r="J9">
        <v>5.67E-2</v>
      </c>
      <c r="L9" s="42"/>
    </row>
    <row r="10" spans="1:12" ht="17.100000000000001">
      <c r="A10" s="42"/>
      <c r="B10" s="42"/>
      <c r="C10" s="43"/>
      <c r="D10" s="43"/>
      <c r="E10" s="1" t="s">
        <v>88</v>
      </c>
      <c r="F10" s="43" t="s">
        <v>94</v>
      </c>
      <c r="G10" s="42" t="s">
        <v>96</v>
      </c>
      <c r="I10">
        <v>4.2519999999999998</v>
      </c>
      <c r="J10">
        <v>2.0799999999999999E-2</v>
      </c>
      <c r="L10" s="42"/>
    </row>
    <row r="11" spans="1:12" ht="17.100000000000001">
      <c r="A11" s="42"/>
      <c r="B11" s="42"/>
      <c r="C11" s="43"/>
      <c r="D11" s="43"/>
      <c r="E11" s="1" t="s">
        <v>91</v>
      </c>
      <c r="F11" s="43"/>
      <c r="G11" s="42"/>
      <c r="I11">
        <v>4.2519999999999998</v>
      </c>
      <c r="J11">
        <v>2.0799999999999999E-2</v>
      </c>
      <c r="L11" s="42"/>
    </row>
    <row r="12" spans="1:12" ht="17.100000000000001">
      <c r="A12" s="42"/>
      <c r="B12" s="42"/>
      <c r="C12" s="43"/>
      <c r="D12" s="43"/>
      <c r="E12" s="1" t="s">
        <v>92</v>
      </c>
      <c r="F12" s="43"/>
      <c r="G12" s="42"/>
      <c r="I12">
        <v>4.2519999999999998</v>
      </c>
      <c r="J12">
        <v>2.0799999999999999E-2</v>
      </c>
      <c r="L12" s="42"/>
    </row>
    <row r="13" spans="1:12" ht="17.100000000000001">
      <c r="A13" s="42"/>
      <c r="B13" s="42"/>
      <c r="C13" s="43"/>
      <c r="D13" s="43"/>
      <c r="E13" s="1" t="s">
        <v>93</v>
      </c>
      <c r="F13" s="43"/>
      <c r="G13" s="42"/>
      <c r="I13">
        <v>4.2519999999999998</v>
      </c>
      <c r="J13">
        <v>2.0799999999999999E-2</v>
      </c>
      <c r="L13" s="42"/>
    </row>
  </sheetData>
  <mergeCells count="10">
    <mergeCell ref="A2:A13"/>
    <mergeCell ref="B2:B13"/>
    <mergeCell ref="C2:C13"/>
    <mergeCell ref="D2:D13"/>
    <mergeCell ref="L2:L13"/>
    <mergeCell ref="F6:F9"/>
    <mergeCell ref="G6:G9"/>
    <mergeCell ref="F10:F13"/>
    <mergeCell ref="G10:G13"/>
    <mergeCell ref="F2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DFED-5225-6546-93F5-D5B3379A6DA8}">
  <dimension ref="A1:L4"/>
  <sheetViews>
    <sheetView workbookViewId="0">
      <selection activeCell="F29" sqref="F29"/>
    </sheetView>
  </sheetViews>
  <sheetFormatPr defaultColWidth="11" defaultRowHeight="15.95"/>
  <cols>
    <col min="1" max="1" width="18.5" customWidth="1"/>
    <col min="2" max="2" width="18.375" style="1" customWidth="1"/>
    <col min="3" max="3" width="14.875" customWidth="1"/>
    <col min="4" max="4" width="12.625" customWidth="1"/>
    <col min="5" max="5" width="13.5" customWidth="1"/>
    <col min="6" max="6" width="12.875" customWidth="1"/>
    <col min="7" max="7" width="13.375" customWidth="1"/>
    <col min="8" max="8" width="13.875" customWidth="1"/>
    <col min="9" max="9" width="16.875" customWidth="1"/>
    <col min="10" max="10" width="18" customWidth="1"/>
    <col min="11" max="11" width="16.5" customWidth="1"/>
    <col min="12" max="12" width="15" customWidth="1"/>
  </cols>
  <sheetData>
    <row r="1" spans="1:12" s="3" customFormat="1" ht="53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51">
      <c r="A2" t="s">
        <v>97</v>
      </c>
      <c r="B2" s="1" t="s">
        <v>98</v>
      </c>
      <c r="C2" t="s">
        <v>14</v>
      </c>
      <c r="D2" t="s">
        <v>15</v>
      </c>
      <c r="I2">
        <v>5.52</v>
      </c>
      <c r="J2">
        <v>0.11700000000000001</v>
      </c>
      <c r="L2" s="45" t="s">
        <v>99</v>
      </c>
    </row>
    <row r="3" spans="1:12" ht="33.950000000000003">
      <c r="B3" s="1" t="s">
        <v>100</v>
      </c>
      <c r="C3" t="s">
        <v>14</v>
      </c>
      <c r="D3" t="s">
        <v>15</v>
      </c>
      <c r="I3">
        <v>6.04</v>
      </c>
      <c r="J3">
        <v>5.16E-2</v>
      </c>
      <c r="L3" s="46"/>
    </row>
    <row r="4" spans="1:12" ht="17.100000000000001">
      <c r="B4" s="1" t="s">
        <v>101</v>
      </c>
      <c r="C4" t="s">
        <v>14</v>
      </c>
      <c r="D4" t="s">
        <v>15</v>
      </c>
      <c r="I4">
        <v>5.93</v>
      </c>
      <c r="J4">
        <v>0.14099999999999999</v>
      </c>
    </row>
  </sheetData>
  <mergeCells count="1">
    <mergeCell ref="L2:L3"/>
  </mergeCells>
  <phoneticPr fontId="2" type="noConversion"/>
  <hyperlinks>
    <hyperlink ref="L2" r:id="rId1" location="Tab3" display="https://link.springer.com/article/10.1007/s10694-016-0616-0 - Tab3" xr:uid="{0F498B6C-7AE6-4E48-B360-C3719449824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B8AB-85C0-1149-ACA1-17BE65DE7788}">
  <dimension ref="A1:L6"/>
  <sheetViews>
    <sheetView workbookViewId="0">
      <selection activeCell="B10" sqref="B10"/>
    </sheetView>
  </sheetViews>
  <sheetFormatPr defaultColWidth="11" defaultRowHeight="15.95"/>
  <cols>
    <col min="1" max="1" width="15.375" customWidth="1"/>
    <col min="2" max="2" width="20.375" style="1" customWidth="1"/>
    <col min="3" max="3" width="13.5" customWidth="1"/>
    <col min="4" max="4" width="8.125" customWidth="1"/>
    <col min="9" max="9" width="16.625" customWidth="1"/>
    <col min="10" max="10" width="16.875" customWidth="1"/>
  </cols>
  <sheetData>
    <row r="1" spans="1:12" s="2" customFormat="1" ht="53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5" customFormat="1" ht="17.100000000000001">
      <c r="A2" s="47" t="s">
        <v>102</v>
      </c>
      <c r="B2" s="4" t="s">
        <v>103</v>
      </c>
      <c r="C2" s="5" t="s">
        <v>14</v>
      </c>
      <c r="D2" s="5" t="s">
        <v>14</v>
      </c>
      <c r="I2" s="5">
        <v>3.1097999999999999</v>
      </c>
      <c r="J2" s="5">
        <v>1.3334999999999999</v>
      </c>
      <c r="L2" s="49" t="s">
        <v>104</v>
      </c>
    </row>
    <row r="3" spans="1:12" s="5" customFormat="1" ht="17.100000000000001">
      <c r="A3" s="48"/>
      <c r="B3" s="4" t="s">
        <v>105</v>
      </c>
      <c r="C3" s="5" t="s">
        <v>14</v>
      </c>
      <c r="D3" s="5" t="s">
        <v>14</v>
      </c>
      <c r="I3" s="5">
        <v>4.6245000000000003</v>
      </c>
      <c r="J3" s="5">
        <v>2.1871</v>
      </c>
      <c r="L3" s="50"/>
    </row>
    <row r="4" spans="1:12" s="5" customFormat="1" ht="17.100000000000001">
      <c r="A4" s="48"/>
      <c r="B4" s="4" t="s">
        <v>106</v>
      </c>
      <c r="C4" s="5" t="s">
        <v>14</v>
      </c>
      <c r="D4" s="5" t="s">
        <v>14</v>
      </c>
      <c r="I4" s="5">
        <v>7.4385000000000003</v>
      </c>
      <c r="J4" s="5">
        <v>2.5546000000000002</v>
      </c>
      <c r="L4" s="50"/>
    </row>
    <row r="5" spans="1:12" s="6" customFormat="1" ht="17.100000000000001">
      <c r="A5" s="6" t="s">
        <v>107</v>
      </c>
      <c r="B5" s="7" t="s">
        <v>108</v>
      </c>
      <c r="C5" s="6" t="s">
        <v>14</v>
      </c>
      <c r="D5" s="6" t="s">
        <v>14</v>
      </c>
      <c r="I5" s="6">
        <v>0.35720000000000002</v>
      </c>
      <c r="J5" s="6">
        <v>0.47589999999999999</v>
      </c>
      <c r="L5" s="51" t="s">
        <v>109</v>
      </c>
    </row>
    <row r="6" spans="1:12" s="6" customFormat="1" ht="33.950000000000003">
      <c r="B6" s="7" t="s">
        <v>110</v>
      </c>
      <c r="C6" s="6" t="s">
        <v>14</v>
      </c>
      <c r="D6" s="6" t="s">
        <v>14</v>
      </c>
      <c r="I6" s="6">
        <v>0.41970000000000002</v>
      </c>
      <c r="J6" s="6">
        <v>0.17449999999999999</v>
      </c>
      <c r="L6" s="51"/>
    </row>
  </sheetData>
  <mergeCells count="3">
    <mergeCell ref="A2:A4"/>
    <mergeCell ref="L2:L4"/>
    <mergeCell ref="L5:L6"/>
  </mergeCells>
  <phoneticPr fontId="2" type="noConversion"/>
  <hyperlinks>
    <hyperlink ref="L2" r:id="rId1" display="http://wzy.ece.iastate.edu/project/34228_FPRANL_v0.4.pdf" xr:uid="{03EB8EE7-6960-8349-BA0A-C5CC541825CB}"/>
    <hyperlink ref="L5" r:id="rId2" display="https://doi.org/10.3390/su12041527" xr:uid="{1236B32A-BC74-CF44-9199-48F4C9BD02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Chaitee Milind Godbole</dc:creator>
  <cp:keywords/>
  <dc:description/>
  <cp:lastModifiedBy/>
  <cp:revision/>
  <dcterms:created xsi:type="dcterms:W3CDTF">2025-08-26T16:56:12Z</dcterms:created>
  <dcterms:modified xsi:type="dcterms:W3CDTF">2025-09-26T17:05:04Z</dcterms:modified>
  <cp:category/>
  <cp:contentStatus/>
</cp:coreProperties>
</file>